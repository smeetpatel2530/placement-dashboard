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C" sheetId="1" r:id="rId5"/>
    <sheet state="visible" name="SWE" sheetId="2" r:id="rId6"/>
    <sheet state="visible" name="CSE" sheetId="3" r:id="rId7"/>
    <sheet state="visible" name="ITY" sheetId="4" r:id="rId8"/>
    <sheet state="visible" name="AFI" sheetId="5" r:id="rId9"/>
    <sheet state="visible" name="Research" sheetId="6" r:id="rId10"/>
  </sheets>
  <definedNames/>
  <calcPr/>
</workbook>
</file>

<file path=xl/sharedStrings.xml><?xml version="1.0" encoding="utf-8"?>
<sst xmlns="http://schemas.openxmlformats.org/spreadsheetml/2006/main" count="780" uniqueCount="366">
  <si>
    <t>COUNT</t>
  </si>
  <si>
    <t>NAME</t>
  </si>
  <si>
    <t>ROLL NO</t>
  </si>
  <si>
    <t>COMPANY</t>
  </si>
  <si>
    <t>ROLE</t>
  </si>
  <si>
    <t>PPO / INTERN</t>
  </si>
  <si>
    <t>PPO Status</t>
  </si>
  <si>
    <t>CTC (LPA)</t>
  </si>
  <si>
    <t>Stipend (PM)</t>
  </si>
  <si>
    <t>Date</t>
  </si>
  <si>
    <t>Trisha Bhatia</t>
  </si>
  <si>
    <t>2K24/DSC/03</t>
  </si>
  <si>
    <t>Siemens Digital</t>
  </si>
  <si>
    <t>Student Intern</t>
  </si>
  <si>
    <t>11M Intern</t>
  </si>
  <si>
    <t>-</t>
  </si>
  <si>
    <t>Shivashish Kaushik</t>
  </si>
  <si>
    <t>2K24/DSC/10</t>
  </si>
  <si>
    <t>STM</t>
  </si>
  <si>
    <t>Software Engineer</t>
  </si>
  <si>
    <t>14/05/2025</t>
  </si>
  <si>
    <t>Sumit Singh</t>
  </si>
  <si>
    <t>2K24/DSC/20</t>
  </si>
  <si>
    <t>Samsung R&amp;D</t>
  </si>
  <si>
    <t>6M + PPO</t>
  </si>
  <si>
    <t>Yes</t>
  </si>
  <si>
    <t>Pratham yadav</t>
  </si>
  <si>
    <t>2K24/DSC/22</t>
  </si>
  <si>
    <t>NO</t>
  </si>
  <si>
    <t>Chirag Arora</t>
  </si>
  <si>
    <t>2K24/DSC/06</t>
  </si>
  <si>
    <t>SOFTWARE DEVELOPER</t>
  </si>
  <si>
    <t>13/6/2025</t>
  </si>
  <si>
    <t>Krishna Prakash</t>
  </si>
  <si>
    <t>2K24/DSC/19</t>
  </si>
  <si>
    <t>BOSCH</t>
  </si>
  <si>
    <t>AI/DS</t>
  </si>
  <si>
    <t>6M Intern</t>
  </si>
  <si>
    <t>Chauhan Abhishek Udaylal</t>
  </si>
  <si>
    <t>2K24/DSC/25</t>
  </si>
  <si>
    <t>Rohit Patel</t>
  </si>
  <si>
    <t>2k24/DSC/23</t>
  </si>
  <si>
    <t>BCN</t>
  </si>
  <si>
    <t>Associate Analyst</t>
  </si>
  <si>
    <t>Muskan Jain</t>
  </si>
  <si>
    <t>2K24/DSC/02</t>
  </si>
  <si>
    <t>Barclays</t>
  </si>
  <si>
    <t>ORRO Analyst</t>
  </si>
  <si>
    <t>FTE</t>
  </si>
  <si>
    <t>Ayushi Dey</t>
  </si>
  <si>
    <t>2k24/DSC/11</t>
  </si>
  <si>
    <t>Risk Analyst</t>
  </si>
  <si>
    <t>Rachna Patil</t>
  </si>
  <si>
    <t>2k24/DSC/27</t>
  </si>
  <si>
    <t>Sandisk</t>
  </si>
  <si>
    <t>Senior Engineer</t>
  </si>
  <si>
    <t>6M + FTE</t>
  </si>
  <si>
    <t>14/08/25</t>
  </si>
  <si>
    <t>N Kamal Raj</t>
  </si>
  <si>
    <t>2k24/DSC/26</t>
  </si>
  <si>
    <t>Oracle CSS</t>
  </si>
  <si>
    <t>Associate Engineer</t>
  </si>
  <si>
    <t>13/10/25</t>
  </si>
  <si>
    <t>Arya Ambica</t>
  </si>
  <si>
    <t>2k24/DSC/12</t>
  </si>
  <si>
    <t>Eular Moters</t>
  </si>
  <si>
    <t>Data Scientist</t>
  </si>
  <si>
    <t>15/10/25</t>
  </si>
  <si>
    <t>Rubhav Saini</t>
  </si>
  <si>
    <t>2k24/DSC/17</t>
  </si>
  <si>
    <t>14/11/25</t>
  </si>
  <si>
    <t>Abhinand</t>
  </si>
  <si>
    <t>2k24/DSC/15</t>
  </si>
  <si>
    <t>EY</t>
  </si>
  <si>
    <t>14/11/26</t>
  </si>
  <si>
    <t>Anirban Bhattacharya</t>
  </si>
  <si>
    <t>2k24/DSC/04</t>
  </si>
  <si>
    <t>SRIN</t>
  </si>
  <si>
    <t>R&amp;D Intern</t>
  </si>
  <si>
    <t>6M+PPO</t>
  </si>
  <si>
    <t>26/11/25</t>
  </si>
  <si>
    <t>Sanskar Jain</t>
  </si>
  <si>
    <t>2k24/DSC/05</t>
  </si>
  <si>
    <t>Novus HiTech</t>
  </si>
  <si>
    <t>Data Analyst</t>
  </si>
  <si>
    <t>17/12/25</t>
  </si>
  <si>
    <t>Shivang Saxena</t>
  </si>
  <si>
    <t>2k24/DSC/09</t>
  </si>
  <si>
    <t>6M</t>
  </si>
  <si>
    <t>Anshul Joshi</t>
  </si>
  <si>
    <t>2k24/DSC/01</t>
  </si>
  <si>
    <t>Accenture KAI</t>
  </si>
  <si>
    <t>AI Research Intern</t>
  </si>
  <si>
    <t>21/12/25</t>
  </si>
  <si>
    <t>Nitesh Kalia</t>
  </si>
  <si>
    <t>2k24/DSC/07</t>
  </si>
  <si>
    <t>HCL Software</t>
  </si>
  <si>
    <t>Senior Software Engg I</t>
  </si>
  <si>
    <t>23/01/2026</t>
  </si>
  <si>
    <t>Nitin Rathour</t>
  </si>
  <si>
    <t>2k24/DSC/14</t>
  </si>
  <si>
    <t>HCl Tech</t>
  </si>
  <si>
    <t>AI_Python</t>
  </si>
  <si>
    <t>28/01/2026</t>
  </si>
  <si>
    <t>Sachin Kumar</t>
  </si>
  <si>
    <t>RxLogix</t>
  </si>
  <si>
    <t>Rajat Yadav</t>
  </si>
  <si>
    <t>2k24/DSC/18</t>
  </si>
  <si>
    <t>LPU</t>
  </si>
  <si>
    <t>Asst. Professor</t>
  </si>
  <si>
    <t>Harsh Kumar</t>
  </si>
  <si>
    <t>2k24/DSC/29</t>
  </si>
  <si>
    <t>Total</t>
  </si>
  <si>
    <t>PPO Confirmation Status</t>
  </si>
  <si>
    <t>Prateek Kumar</t>
  </si>
  <si>
    <t>2K24/SWE/07</t>
  </si>
  <si>
    <t>Stryker</t>
  </si>
  <si>
    <t>GTE</t>
  </si>
  <si>
    <t>11M Intern+PPO</t>
  </si>
  <si>
    <t>Aditya Pandey</t>
  </si>
  <si>
    <t>2K24/SWE/10</t>
  </si>
  <si>
    <t>Analog Devices</t>
  </si>
  <si>
    <t>SOFTWARE ENGINEER</t>
  </si>
  <si>
    <t>9M Intern+PPO</t>
  </si>
  <si>
    <t>YES</t>
  </si>
  <si>
    <t>17/12/2024</t>
  </si>
  <si>
    <t>Shahbaz</t>
  </si>
  <si>
    <t>2K24/SWE/16</t>
  </si>
  <si>
    <t>Cadence</t>
  </si>
  <si>
    <t>24/03/2025</t>
  </si>
  <si>
    <t>Mudit Jain</t>
  </si>
  <si>
    <t>2K24/SWE/02</t>
  </si>
  <si>
    <t>NXP</t>
  </si>
  <si>
    <t>Embedded System Intern</t>
  </si>
  <si>
    <t>Jyotiska Bhardwaj</t>
  </si>
  <si>
    <t>2K24/SWE/05</t>
  </si>
  <si>
    <t>Aman Chauhan</t>
  </si>
  <si>
    <t>2K24/SWE/08</t>
  </si>
  <si>
    <t>Suraj Prasad Kalauni</t>
  </si>
  <si>
    <t>2K24/SWE/03</t>
  </si>
  <si>
    <t>Priyanshu Jain</t>
  </si>
  <si>
    <t>2K24/SWE/01</t>
  </si>
  <si>
    <t>Mehek Jagwani</t>
  </si>
  <si>
    <t>2K24/SWE/11</t>
  </si>
  <si>
    <t>Aman Yadav</t>
  </si>
  <si>
    <t>2K24/SWE/12</t>
  </si>
  <si>
    <t>Micron</t>
  </si>
  <si>
    <t>SDE</t>
  </si>
  <si>
    <t>Priyanka</t>
  </si>
  <si>
    <t>2K24/SWE/17</t>
  </si>
  <si>
    <t>IBM Consultancy</t>
  </si>
  <si>
    <t>Application Developer</t>
  </si>
  <si>
    <t>29/11/25</t>
  </si>
  <si>
    <t>Mansi Gupta</t>
  </si>
  <si>
    <t>2K24/SWE/09</t>
  </si>
  <si>
    <t>27/12/25</t>
  </si>
  <si>
    <t>Krithic S</t>
  </si>
  <si>
    <t>2K24/SWE/20</t>
  </si>
  <si>
    <t>HCL Tech</t>
  </si>
  <si>
    <t>Himanshu Ranjan</t>
  </si>
  <si>
    <t>2K24/SWE/21</t>
  </si>
  <si>
    <t>STBG</t>
  </si>
  <si>
    <t>Mentor(Career Counselor)</t>
  </si>
  <si>
    <t>Pulkit Jain</t>
  </si>
  <si>
    <t>Amdocs</t>
  </si>
  <si>
    <t>S/W Test Engineer</t>
  </si>
  <si>
    <t>Tushar</t>
  </si>
  <si>
    <t>2K24/SWE/24</t>
  </si>
  <si>
    <t>Stipend (k PM)</t>
  </si>
  <si>
    <t>Abhitesh Kumar</t>
  </si>
  <si>
    <t>2K24/CSE/21</t>
  </si>
  <si>
    <t>Siemens_EDA</t>
  </si>
  <si>
    <t>Software Intern</t>
  </si>
  <si>
    <t>28/02/2025</t>
  </si>
  <si>
    <t>Ashish Kumar</t>
  </si>
  <si>
    <t>2K24/CSE/12</t>
  </si>
  <si>
    <t>Kartik Pruthi</t>
  </si>
  <si>
    <t>2K24/CSE/10</t>
  </si>
  <si>
    <t>Intel</t>
  </si>
  <si>
    <t>26/03/2025</t>
  </si>
  <si>
    <t>Ankur Nigam</t>
  </si>
  <si>
    <t>2K24/CSE/15</t>
  </si>
  <si>
    <t>KSHITIJ CHANDRA</t>
  </si>
  <si>
    <t>2K24/CSE/04</t>
  </si>
  <si>
    <t>Bhargavi Goyal</t>
  </si>
  <si>
    <t>2K24/CSE/01</t>
  </si>
  <si>
    <t>6M Intern+PPO</t>
  </si>
  <si>
    <t>No</t>
  </si>
  <si>
    <t>Smrutiranjan Mohapatra</t>
  </si>
  <si>
    <t>2k24/CSE/03</t>
  </si>
  <si>
    <t>Rushikesh Patel</t>
  </si>
  <si>
    <t>2k24/CSE/25</t>
  </si>
  <si>
    <t>Ayush Kumar Singh</t>
  </si>
  <si>
    <t>2K24/CSE/28</t>
  </si>
  <si>
    <t>Injamamul Haq</t>
  </si>
  <si>
    <t>2K24/CSE/27</t>
  </si>
  <si>
    <t>Vinay Grewal</t>
  </si>
  <si>
    <t>2K24/CSE/11</t>
  </si>
  <si>
    <t>Jotham</t>
  </si>
  <si>
    <t>2K24/CSE/18</t>
  </si>
  <si>
    <t>HR Intern</t>
  </si>
  <si>
    <t>15/09/25</t>
  </si>
  <si>
    <t>Nandit Bhradwaj</t>
  </si>
  <si>
    <t>2K24/CSE/02</t>
  </si>
  <si>
    <t>Ciena</t>
  </si>
  <si>
    <t>C/C++/Python Developer</t>
  </si>
  <si>
    <t>22/09/2025</t>
  </si>
  <si>
    <t>Paramhans Mishra</t>
  </si>
  <si>
    <t>2K24/CSE/06</t>
  </si>
  <si>
    <t>Software Engineer Intern</t>
  </si>
  <si>
    <t>Awantika Tripathi</t>
  </si>
  <si>
    <t>2K24/CSE/29</t>
  </si>
  <si>
    <t>AI/ML</t>
  </si>
  <si>
    <t>Sakshi Sakhya</t>
  </si>
  <si>
    <t>2K24/CSE/05</t>
  </si>
  <si>
    <t>Software Enginee</t>
  </si>
  <si>
    <t>17/11/2025</t>
  </si>
  <si>
    <t>Anshul</t>
  </si>
  <si>
    <t>2K24/CSE/16</t>
  </si>
  <si>
    <t>Piyush Khurana</t>
  </si>
  <si>
    <t>24/CSE/09</t>
  </si>
  <si>
    <t>Nayan Dubey</t>
  </si>
  <si>
    <t>2k24/CSE/30</t>
  </si>
  <si>
    <t>Swiggy</t>
  </si>
  <si>
    <t>Associate SDE</t>
  </si>
  <si>
    <t>28/11/25</t>
  </si>
  <si>
    <t>Mohd Maarif</t>
  </si>
  <si>
    <t>2K24/CSE/08</t>
  </si>
  <si>
    <t>Vishal Kumar Gupta</t>
  </si>
  <si>
    <t>SOA university</t>
  </si>
  <si>
    <t>Assistant professor</t>
  </si>
  <si>
    <t>Ishan Mangal</t>
  </si>
  <si>
    <t>2K24/ISY/05</t>
  </si>
  <si>
    <t>Aishwary Rudra Chaturvedi</t>
  </si>
  <si>
    <t>2K24/ISY/06</t>
  </si>
  <si>
    <t>Sarthak Saini</t>
  </si>
  <si>
    <t>2K24/ISY/011</t>
  </si>
  <si>
    <t>Adarsh Gupta</t>
  </si>
  <si>
    <t>2K24/ISY/21</t>
  </si>
  <si>
    <t>Paras Chandra</t>
  </si>
  <si>
    <t>2K24/ISY/13</t>
  </si>
  <si>
    <t>Kinjal Raykarmakar</t>
  </si>
  <si>
    <t>2K24/ISY/19</t>
  </si>
  <si>
    <t>Tech Mahindra</t>
  </si>
  <si>
    <t>28/07/2025</t>
  </si>
  <si>
    <t>Akash Pandey</t>
  </si>
  <si>
    <t>2K24/ISY/02</t>
  </si>
  <si>
    <t>KPMG</t>
  </si>
  <si>
    <t>Associate AI Consultant</t>
  </si>
  <si>
    <t>6M Intern+FTE</t>
  </si>
  <si>
    <t>30/08/2025</t>
  </si>
  <si>
    <t>Kesu Shukla</t>
  </si>
  <si>
    <t>2K24/ISY/15</t>
  </si>
  <si>
    <t>Krishan Tripathi</t>
  </si>
  <si>
    <t>2K24/ISY/24</t>
  </si>
  <si>
    <t>SDE C++</t>
  </si>
  <si>
    <t>6M intern +FTE</t>
  </si>
  <si>
    <t>19/09/2025</t>
  </si>
  <si>
    <t>Aman Solanki</t>
  </si>
  <si>
    <t>2k24/ISY/12</t>
  </si>
  <si>
    <t>Ashwini Waiker</t>
  </si>
  <si>
    <t>2k24/ISY/16</t>
  </si>
  <si>
    <t>28/12/25</t>
  </si>
  <si>
    <t>Srishti Singh</t>
  </si>
  <si>
    <t>2K24/ISY/03</t>
  </si>
  <si>
    <t>Parul University</t>
  </si>
  <si>
    <t>Assistant Professor</t>
  </si>
  <si>
    <t>Jahnvi Patel</t>
  </si>
  <si>
    <t>2K24/ISY/10</t>
  </si>
  <si>
    <t>Muheet Alam</t>
  </si>
  <si>
    <t>Fte</t>
  </si>
  <si>
    <t>Amir Khan</t>
  </si>
  <si>
    <t>2K24/AFI/06</t>
  </si>
  <si>
    <t>PGTE</t>
  </si>
  <si>
    <t>Ravinder Tetarwal</t>
  </si>
  <si>
    <t>2K24/AFI/07</t>
  </si>
  <si>
    <t>Pooja Verma</t>
  </si>
  <si>
    <t>2K24/AFI/22</t>
  </si>
  <si>
    <t>Nikhil</t>
  </si>
  <si>
    <t>2K24/AFI/26</t>
  </si>
  <si>
    <t>12M Intern+PPO</t>
  </si>
  <si>
    <t>15/05/2025</t>
  </si>
  <si>
    <t>Samarth Gautam</t>
  </si>
  <si>
    <t>2K24/AFI/28</t>
  </si>
  <si>
    <t>24/07/2025</t>
  </si>
  <si>
    <t>Harshit Garg</t>
  </si>
  <si>
    <t>2K24/AFI/17</t>
  </si>
  <si>
    <t>Rohit Kumar</t>
  </si>
  <si>
    <t>2K24/AFI/30</t>
  </si>
  <si>
    <t>Gautam Agarwal</t>
  </si>
  <si>
    <t>2K24/AFI/02</t>
  </si>
  <si>
    <t>Riya Johar</t>
  </si>
  <si>
    <t>2K24/AFI/14</t>
  </si>
  <si>
    <t>Sidhharth Sharma</t>
  </si>
  <si>
    <t>2K24/AFI/12</t>
  </si>
  <si>
    <t>Engineering Intern</t>
  </si>
  <si>
    <t>6M +PPO</t>
  </si>
  <si>
    <t>Arya Patel</t>
  </si>
  <si>
    <t>2K24/AFI/08</t>
  </si>
  <si>
    <t>Nagarro</t>
  </si>
  <si>
    <t>6M+FTE</t>
  </si>
  <si>
    <t>13/11/2025</t>
  </si>
  <si>
    <t>Megha Bharti</t>
  </si>
  <si>
    <t>2K24/AFI/20</t>
  </si>
  <si>
    <t>Bosch</t>
  </si>
  <si>
    <t>Intern</t>
  </si>
  <si>
    <t>Vedant</t>
  </si>
  <si>
    <t>2K24/AFI/11</t>
  </si>
  <si>
    <t>PGET</t>
  </si>
  <si>
    <t>24/11/25</t>
  </si>
  <si>
    <t>Jyoti Pandey</t>
  </si>
  <si>
    <t>2K24/AFI/10</t>
  </si>
  <si>
    <t>AI Intern</t>
  </si>
  <si>
    <t>Astha Ahlawat</t>
  </si>
  <si>
    <t>2K24/AFI/01</t>
  </si>
  <si>
    <t>WWT</t>
  </si>
  <si>
    <t xml:space="preserve">Data Scientist </t>
  </si>
  <si>
    <t>Ankit Kumar Singh</t>
  </si>
  <si>
    <t>2K24/AFI/23</t>
  </si>
  <si>
    <t>Arms4AI</t>
  </si>
  <si>
    <t>18/12/25</t>
  </si>
  <si>
    <t>Ganesh Gutthi</t>
  </si>
  <si>
    <t>2K24/AFI/25</t>
  </si>
  <si>
    <t>Ankit Sharma</t>
  </si>
  <si>
    <t>2K24/AFI/05</t>
  </si>
  <si>
    <t>Sujyoti Jha</t>
  </si>
  <si>
    <t>2K24/AFI/09</t>
  </si>
  <si>
    <t>AMWAY</t>
  </si>
  <si>
    <t>Data Engineer</t>
  </si>
  <si>
    <t>Rishika Gupta</t>
  </si>
  <si>
    <t>2K24/AFI/27</t>
  </si>
  <si>
    <t>InfoOrigin</t>
  </si>
  <si>
    <t>Data Science Intern</t>
  </si>
  <si>
    <t>29/01/2026</t>
  </si>
  <si>
    <t>Stipend (K PM)</t>
  </si>
  <si>
    <t>Himanshu Kumar</t>
  </si>
  <si>
    <t>2K24/RSE/01</t>
  </si>
  <si>
    <t>Software Developer</t>
  </si>
  <si>
    <t>6M INTERN + PPO</t>
  </si>
  <si>
    <t>13th June</t>
  </si>
  <si>
    <t>Vaibhav</t>
  </si>
  <si>
    <t>2K24/RSE/04</t>
  </si>
  <si>
    <t>06th June</t>
  </si>
  <si>
    <t>Palak Harinkhede</t>
  </si>
  <si>
    <t>2K24/RCO/07</t>
  </si>
  <si>
    <t>August</t>
  </si>
  <si>
    <t>Shubham Sehwal</t>
  </si>
  <si>
    <t>2K24/RCO/08</t>
  </si>
  <si>
    <t>Somanshu Gupta</t>
  </si>
  <si>
    <t>2K24/RSE/06</t>
  </si>
  <si>
    <t>Data Engineering</t>
  </si>
  <si>
    <t>19th December</t>
  </si>
  <si>
    <t>Muskan Motwani</t>
  </si>
  <si>
    <t>2K24/RCO/01</t>
  </si>
  <si>
    <t>Rishabh Singh</t>
  </si>
  <si>
    <t>2K24/RCO/04</t>
  </si>
  <si>
    <t>Akash Yadav</t>
  </si>
  <si>
    <t>2k24/RSE/05</t>
  </si>
  <si>
    <t>Aditya Raj</t>
  </si>
  <si>
    <t>2k24/RSE/09</t>
  </si>
  <si>
    <t>DSC</t>
  </si>
  <si>
    <t>SWE</t>
  </si>
  <si>
    <t>CSE</t>
  </si>
  <si>
    <t>ITY</t>
  </si>
  <si>
    <t>AFI</t>
  </si>
  <si>
    <t>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</si>
</sst>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/dd/yy"/>
    <numFmt numFmtId="166" formatCode="mm/dd/yyyy"/>
    <numFmt numFmtId="167" formatCode="m/d/yy"/>
    <numFmt numFmtId="168" formatCode="dd mmmm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27BA0"/>
        <bgColor rgb="FFC27BA0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 shrinkToFit="0" vertical="bottom" wrapText="0"/>
    </xf>
    <xf borderId="0" fillId="3" fontId="3" numFmtId="164" xfId="0" applyAlignment="1" applyFont="1" applyNumberFormat="1">
      <alignment horizontal="center" readingOrder="0" shrinkToFit="0" vertical="bottom" wrapText="0"/>
    </xf>
    <xf borderId="0" fillId="3" fontId="4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3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0" fontId="4" numFmtId="167" xfId="0" applyAlignment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3" numFmtId="0" xfId="0" applyAlignment="1" applyFont="1">
      <alignment horizontal="center" shrinkToFit="0" vertical="bottom" wrapText="0"/>
    </xf>
    <xf borderId="0" fillId="0" fontId="4" numFmtId="168" xfId="0" applyAlignment="1" applyFont="1" applyNumberForma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2" fillId="5" fontId="4" numFmtId="0" xfId="0" applyAlignment="1" applyBorder="1" applyFont="1">
      <alignment horizontal="center" readingOrder="0"/>
    </xf>
    <xf borderId="3" fillId="5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3.38"/>
    <col customWidth="1" min="5" max="5" width="18.5"/>
    <col customWidth="1" min="6" max="6" width="16.0"/>
    <col customWidth="1" min="7" max="7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3">
        <v>40.0</v>
      </c>
      <c r="J2" s="4">
        <v>45545.0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>
        <f t="shared" ref="A3:A16" si="1">A2+1</f>
        <v>2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14</v>
      </c>
      <c r="G3" s="6" t="s">
        <v>15</v>
      </c>
      <c r="H3" s="6" t="s">
        <v>15</v>
      </c>
      <c r="I3" s="6">
        <v>50.0</v>
      </c>
      <c r="J3" s="6" t="s">
        <v>20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>
        <f t="shared" si="1"/>
        <v>3</v>
      </c>
      <c r="B4" s="6" t="s">
        <v>21</v>
      </c>
      <c r="C4" s="6" t="s">
        <v>22</v>
      </c>
      <c r="D4" s="6" t="s">
        <v>23</v>
      </c>
      <c r="E4" s="6" t="s">
        <v>19</v>
      </c>
      <c r="F4" s="8" t="s">
        <v>24</v>
      </c>
      <c r="G4" s="6" t="s">
        <v>25</v>
      </c>
      <c r="H4" s="6">
        <v>20.0</v>
      </c>
      <c r="I4" s="6">
        <v>75.0</v>
      </c>
      <c r="J4" s="9">
        <v>45814.0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3">
        <f t="shared" si="1"/>
        <v>4</v>
      </c>
      <c r="B5" s="3" t="s">
        <v>26</v>
      </c>
      <c r="C5" s="3" t="s">
        <v>27</v>
      </c>
      <c r="D5" s="3" t="s">
        <v>23</v>
      </c>
      <c r="E5" s="3" t="s">
        <v>19</v>
      </c>
      <c r="F5" s="10" t="s">
        <v>24</v>
      </c>
      <c r="G5" s="3" t="s">
        <v>28</v>
      </c>
      <c r="H5" s="3">
        <v>20.0</v>
      </c>
      <c r="I5" s="3">
        <v>75.0</v>
      </c>
      <c r="J5" s="4">
        <v>45967.0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>
        <f t="shared" si="1"/>
        <v>5</v>
      </c>
      <c r="B6" s="6" t="s">
        <v>29</v>
      </c>
      <c r="C6" s="6" t="s">
        <v>30</v>
      </c>
      <c r="D6" s="6" t="s">
        <v>23</v>
      </c>
      <c r="E6" s="6" t="s">
        <v>31</v>
      </c>
      <c r="F6" s="8" t="s">
        <v>24</v>
      </c>
      <c r="G6" s="6" t="s">
        <v>25</v>
      </c>
      <c r="H6" s="6">
        <v>20.0</v>
      </c>
      <c r="I6" s="6">
        <v>50.0</v>
      </c>
      <c r="J6" s="6" t="s">
        <v>32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6">
        <f t="shared" si="1"/>
        <v>6</v>
      </c>
      <c r="B7" s="8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15</v>
      </c>
      <c r="H7" s="8" t="s">
        <v>15</v>
      </c>
      <c r="I7" s="8">
        <v>35.0</v>
      </c>
      <c r="J7" s="11">
        <v>45999.0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6">
        <f t="shared" si="1"/>
        <v>7</v>
      </c>
      <c r="B8" s="8" t="s">
        <v>38</v>
      </c>
      <c r="C8" s="8" t="s">
        <v>39</v>
      </c>
      <c r="D8" s="8" t="s">
        <v>35</v>
      </c>
      <c r="E8" s="8" t="s">
        <v>36</v>
      </c>
      <c r="F8" s="8" t="s">
        <v>37</v>
      </c>
      <c r="G8" s="8" t="s">
        <v>15</v>
      </c>
      <c r="H8" s="8" t="s">
        <v>15</v>
      </c>
      <c r="I8" s="8">
        <v>35.0</v>
      </c>
      <c r="J8" s="11">
        <v>45999.0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">
        <f t="shared" si="1"/>
        <v>8</v>
      </c>
      <c r="B9" s="8" t="s">
        <v>40</v>
      </c>
      <c r="C9" s="8" t="s">
        <v>41</v>
      </c>
      <c r="D9" s="8" t="s">
        <v>42</v>
      </c>
      <c r="E9" s="8" t="s">
        <v>43</v>
      </c>
      <c r="F9" s="8" t="s">
        <v>24</v>
      </c>
      <c r="G9" s="8" t="s">
        <v>15</v>
      </c>
      <c r="H9" s="8">
        <v>22.84</v>
      </c>
      <c r="I9" s="8">
        <v>75.0</v>
      </c>
      <c r="J9" s="11">
        <v>46000.0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">
        <f t="shared" si="1"/>
        <v>9</v>
      </c>
      <c r="B10" s="8" t="s">
        <v>44</v>
      </c>
      <c r="C10" s="8" t="s">
        <v>45</v>
      </c>
      <c r="D10" s="8" t="s">
        <v>46</v>
      </c>
      <c r="E10" s="8" t="s">
        <v>47</v>
      </c>
      <c r="F10" s="8" t="s">
        <v>48</v>
      </c>
      <c r="G10" s="8" t="s">
        <v>25</v>
      </c>
      <c r="H10" s="8">
        <v>15.5</v>
      </c>
      <c r="I10" s="8" t="s">
        <v>15</v>
      </c>
      <c r="J10" s="11">
        <v>46000.0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">
        <f t="shared" si="1"/>
        <v>10</v>
      </c>
      <c r="B11" s="8" t="s">
        <v>49</v>
      </c>
      <c r="C11" s="8" t="s">
        <v>50</v>
      </c>
      <c r="D11" s="8" t="s">
        <v>46</v>
      </c>
      <c r="E11" s="8" t="s">
        <v>51</v>
      </c>
      <c r="F11" s="8" t="s">
        <v>48</v>
      </c>
      <c r="G11" s="8" t="s">
        <v>25</v>
      </c>
      <c r="H11" s="8">
        <v>15.5</v>
      </c>
      <c r="I11" s="8" t="s">
        <v>15</v>
      </c>
      <c r="J11" s="11">
        <v>45999.0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6">
        <f t="shared" si="1"/>
        <v>11</v>
      </c>
      <c r="B12" s="8" t="s">
        <v>52</v>
      </c>
      <c r="C12" s="8" t="s">
        <v>53</v>
      </c>
      <c r="D12" s="8" t="s">
        <v>54</v>
      </c>
      <c r="E12" s="8" t="s">
        <v>55</v>
      </c>
      <c r="F12" s="8" t="s">
        <v>56</v>
      </c>
      <c r="G12" s="8" t="s">
        <v>25</v>
      </c>
      <c r="H12" s="8">
        <v>21.5</v>
      </c>
      <c r="I12" s="8">
        <v>50.0</v>
      </c>
      <c r="J12" s="8" t="s">
        <v>57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6">
        <f t="shared" si="1"/>
        <v>12</v>
      </c>
      <c r="B13" s="8" t="s">
        <v>58</v>
      </c>
      <c r="C13" s="8" t="s">
        <v>59</v>
      </c>
      <c r="D13" s="8" t="s">
        <v>60</v>
      </c>
      <c r="E13" s="8" t="s">
        <v>61</v>
      </c>
      <c r="F13" s="8" t="s">
        <v>48</v>
      </c>
      <c r="G13" s="8" t="s">
        <v>25</v>
      </c>
      <c r="H13" s="8">
        <v>11.0</v>
      </c>
      <c r="I13" s="8" t="s">
        <v>15</v>
      </c>
      <c r="J13" s="8" t="s">
        <v>62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6">
        <f t="shared" si="1"/>
        <v>13</v>
      </c>
      <c r="B14" s="8" t="s">
        <v>63</v>
      </c>
      <c r="C14" s="8" t="s">
        <v>64</v>
      </c>
      <c r="D14" s="8" t="s">
        <v>65</v>
      </c>
      <c r="E14" s="8" t="s">
        <v>66</v>
      </c>
      <c r="F14" s="8" t="s">
        <v>24</v>
      </c>
      <c r="G14" s="8" t="s">
        <v>15</v>
      </c>
      <c r="H14" s="8">
        <v>8.0</v>
      </c>
      <c r="I14" s="8">
        <v>30.0</v>
      </c>
      <c r="J14" s="8" t="s">
        <v>67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6">
        <f t="shared" si="1"/>
        <v>14</v>
      </c>
      <c r="B15" s="8" t="s">
        <v>68</v>
      </c>
      <c r="C15" s="8" t="s">
        <v>69</v>
      </c>
      <c r="D15" s="8" t="s">
        <v>35</v>
      </c>
      <c r="E15" s="8" t="s">
        <v>36</v>
      </c>
      <c r="F15" s="8" t="s">
        <v>24</v>
      </c>
      <c r="G15" s="8" t="s">
        <v>15</v>
      </c>
      <c r="H15" s="8">
        <v>16.0</v>
      </c>
      <c r="I15" s="8">
        <v>35.0</v>
      </c>
      <c r="J15" s="8" t="s">
        <v>70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6">
        <f t="shared" si="1"/>
        <v>15</v>
      </c>
      <c r="B16" s="8" t="s">
        <v>71</v>
      </c>
      <c r="C16" s="8" t="s">
        <v>72</v>
      </c>
      <c r="D16" s="8" t="s">
        <v>73</v>
      </c>
      <c r="E16" s="8" t="s">
        <v>43</v>
      </c>
      <c r="F16" s="8" t="s">
        <v>48</v>
      </c>
      <c r="G16" s="8" t="s">
        <v>25</v>
      </c>
      <c r="H16" s="8">
        <v>9.2</v>
      </c>
      <c r="I16" s="8" t="s">
        <v>15</v>
      </c>
      <c r="J16" s="8" t="s">
        <v>74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>
        <v>16.0</v>
      </c>
      <c r="B17" s="8" t="s">
        <v>75</v>
      </c>
      <c r="C17" s="8" t="s">
        <v>76</v>
      </c>
      <c r="D17" s="8" t="s">
        <v>77</v>
      </c>
      <c r="E17" s="8" t="s">
        <v>78</v>
      </c>
      <c r="F17" s="8" t="s">
        <v>79</v>
      </c>
      <c r="G17" s="8" t="s">
        <v>15</v>
      </c>
      <c r="H17" s="8">
        <v>15.5</v>
      </c>
      <c r="I17" s="8">
        <v>50.0</v>
      </c>
      <c r="J17" s="8" t="s">
        <v>80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8">
        <v>17.0</v>
      </c>
      <c r="B18" s="8" t="s">
        <v>81</v>
      </c>
      <c r="C18" s="8" t="s">
        <v>82</v>
      </c>
      <c r="D18" s="8" t="s">
        <v>83</v>
      </c>
      <c r="E18" s="8" t="s">
        <v>84</v>
      </c>
      <c r="F18" s="8" t="s">
        <v>79</v>
      </c>
      <c r="G18" s="8" t="s">
        <v>15</v>
      </c>
      <c r="H18" s="8">
        <v>9.0</v>
      </c>
      <c r="I18" s="8">
        <v>25.0</v>
      </c>
      <c r="J18" s="8" t="s">
        <v>85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>
        <v>18.0</v>
      </c>
      <c r="B19" s="8" t="s">
        <v>86</v>
      </c>
      <c r="C19" s="8" t="s">
        <v>87</v>
      </c>
      <c r="D19" s="8" t="s">
        <v>18</v>
      </c>
      <c r="E19" s="8" t="s">
        <v>19</v>
      </c>
      <c r="F19" s="8" t="s">
        <v>88</v>
      </c>
      <c r="G19" s="8" t="s">
        <v>15</v>
      </c>
      <c r="H19" s="8" t="s">
        <v>15</v>
      </c>
      <c r="I19" s="8">
        <v>50.0</v>
      </c>
      <c r="J19" s="8" t="s">
        <v>85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">
        <v>19.0</v>
      </c>
      <c r="B20" s="8" t="s">
        <v>89</v>
      </c>
      <c r="C20" s="8" t="s">
        <v>90</v>
      </c>
      <c r="D20" s="8" t="s">
        <v>91</v>
      </c>
      <c r="E20" s="8" t="s">
        <v>92</v>
      </c>
      <c r="F20" s="8" t="s">
        <v>24</v>
      </c>
      <c r="G20" s="8" t="s">
        <v>15</v>
      </c>
      <c r="H20" s="8">
        <v>15.0</v>
      </c>
      <c r="I20" s="8">
        <v>50.0</v>
      </c>
      <c r="J20" s="8" t="s">
        <v>93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8">
        <v>20.0</v>
      </c>
      <c r="B21" s="8" t="s">
        <v>94</v>
      </c>
      <c r="C21" s="8" t="s">
        <v>95</v>
      </c>
      <c r="D21" s="8" t="s">
        <v>96</v>
      </c>
      <c r="E21" s="8" t="s">
        <v>97</v>
      </c>
      <c r="F21" s="8" t="s">
        <v>48</v>
      </c>
      <c r="G21" s="8" t="s">
        <v>25</v>
      </c>
      <c r="H21" s="8">
        <v>18.0</v>
      </c>
      <c r="I21" s="7"/>
      <c r="J21" s="8" t="s">
        <v>98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8">
        <v>21.0</v>
      </c>
      <c r="B22" s="8" t="s">
        <v>99</v>
      </c>
      <c r="C22" s="8" t="s">
        <v>100</v>
      </c>
      <c r="D22" s="8" t="s">
        <v>101</v>
      </c>
      <c r="E22" s="8" t="s">
        <v>102</v>
      </c>
      <c r="F22" s="8" t="s">
        <v>48</v>
      </c>
      <c r="G22" s="8" t="s">
        <v>25</v>
      </c>
      <c r="H22" s="8">
        <v>10.0</v>
      </c>
      <c r="I22" s="7"/>
      <c r="J22" s="8" t="s">
        <v>103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8">
        <v>22.0</v>
      </c>
      <c r="B23" s="8" t="s">
        <v>104</v>
      </c>
      <c r="C23" s="8" t="s">
        <v>100</v>
      </c>
      <c r="D23" s="8" t="s">
        <v>105</v>
      </c>
      <c r="E23" s="8" t="s">
        <v>66</v>
      </c>
      <c r="F23" s="8" t="s">
        <v>56</v>
      </c>
      <c r="G23" s="8" t="s">
        <v>25</v>
      </c>
      <c r="H23" s="8">
        <v>9.0</v>
      </c>
      <c r="I23" s="8">
        <v>40.0</v>
      </c>
      <c r="J23" s="12">
        <v>46297.0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8">
        <v>23.0</v>
      </c>
      <c r="B24" s="8" t="s">
        <v>106</v>
      </c>
      <c r="C24" s="8" t="s">
        <v>107</v>
      </c>
      <c r="D24" s="8" t="s">
        <v>108</v>
      </c>
      <c r="E24" s="8" t="s">
        <v>109</v>
      </c>
      <c r="F24" s="8" t="s">
        <v>48</v>
      </c>
      <c r="G24" s="8" t="s">
        <v>25</v>
      </c>
      <c r="H24" s="8">
        <v>8.4</v>
      </c>
      <c r="I24" s="8" t="s">
        <v>15</v>
      </c>
      <c r="J24" s="13">
        <v>46176.0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8">
        <v>24.0</v>
      </c>
      <c r="B25" s="8" t="s">
        <v>110</v>
      </c>
      <c r="C25" s="8" t="s">
        <v>111</v>
      </c>
      <c r="D25" s="8" t="s">
        <v>108</v>
      </c>
      <c r="E25" s="8" t="s">
        <v>109</v>
      </c>
      <c r="F25" s="8" t="s">
        <v>48</v>
      </c>
      <c r="G25" s="8" t="s">
        <v>25</v>
      </c>
      <c r="H25" s="8">
        <v>8.4</v>
      </c>
      <c r="I25" s="8" t="s">
        <v>15</v>
      </c>
      <c r="J25" s="13">
        <v>46176.0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14" t="s">
        <v>112</v>
      </c>
      <c r="C31" s="14">
        <v>24.0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0"/>
    <col customWidth="1" min="4" max="4" width="13.63"/>
    <col customWidth="1" min="5" max="5" width="19.63"/>
    <col customWidth="1" min="6" max="6" width="14.75"/>
    <col customWidth="1" min="7" max="7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113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6">
        <v>1.0</v>
      </c>
      <c r="B2" s="6" t="s">
        <v>114</v>
      </c>
      <c r="C2" s="6" t="s">
        <v>115</v>
      </c>
      <c r="D2" s="6" t="s">
        <v>116</v>
      </c>
      <c r="E2" s="6" t="s">
        <v>117</v>
      </c>
      <c r="F2" s="6" t="s">
        <v>118</v>
      </c>
      <c r="G2" s="6" t="s">
        <v>15</v>
      </c>
      <c r="H2" s="6">
        <v>11.0</v>
      </c>
      <c r="I2" s="6">
        <v>50.0</v>
      </c>
      <c r="J2" s="9">
        <v>45577.0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>
        <f t="shared" ref="A3:A11" si="1">A2+1</f>
        <v>2</v>
      </c>
      <c r="B3" s="6" t="s">
        <v>119</v>
      </c>
      <c r="C3" s="6" t="s">
        <v>120</v>
      </c>
      <c r="D3" s="6" t="s">
        <v>121</v>
      </c>
      <c r="E3" s="6" t="s">
        <v>122</v>
      </c>
      <c r="F3" s="6" t="s">
        <v>123</v>
      </c>
      <c r="G3" s="6" t="s">
        <v>124</v>
      </c>
      <c r="H3" s="6">
        <v>36.0</v>
      </c>
      <c r="I3" s="6">
        <v>45.0</v>
      </c>
      <c r="J3" s="6" t="s">
        <v>125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>
        <f t="shared" si="1"/>
        <v>3</v>
      </c>
      <c r="B4" s="6" t="s">
        <v>126</v>
      </c>
      <c r="C4" s="6" t="s">
        <v>127</v>
      </c>
      <c r="D4" s="6" t="s">
        <v>128</v>
      </c>
      <c r="E4" s="6" t="s">
        <v>122</v>
      </c>
      <c r="F4" s="6" t="s">
        <v>118</v>
      </c>
      <c r="G4" s="6" t="s">
        <v>15</v>
      </c>
      <c r="H4" s="6">
        <v>18.0</v>
      </c>
      <c r="I4" s="6">
        <v>45.0</v>
      </c>
      <c r="J4" s="6" t="s">
        <v>129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">
        <f t="shared" si="1"/>
        <v>4</v>
      </c>
      <c r="B5" s="6" t="s">
        <v>130</v>
      </c>
      <c r="C5" s="6" t="s">
        <v>131</v>
      </c>
      <c r="D5" s="6" t="s">
        <v>132</v>
      </c>
      <c r="E5" s="6" t="s">
        <v>133</v>
      </c>
      <c r="F5" s="6" t="s">
        <v>118</v>
      </c>
      <c r="G5" s="6" t="s">
        <v>15</v>
      </c>
      <c r="H5" s="6">
        <v>25.0</v>
      </c>
      <c r="I5" s="6">
        <v>45.0</v>
      </c>
      <c r="J5" s="9">
        <v>45873.0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6">
        <f t="shared" si="1"/>
        <v>5</v>
      </c>
      <c r="B6" s="6" t="s">
        <v>134</v>
      </c>
      <c r="C6" s="6" t="s">
        <v>135</v>
      </c>
      <c r="D6" s="6" t="s">
        <v>132</v>
      </c>
      <c r="E6" s="6" t="s">
        <v>133</v>
      </c>
      <c r="F6" s="6" t="s">
        <v>118</v>
      </c>
      <c r="G6" s="6" t="s">
        <v>15</v>
      </c>
      <c r="H6" s="6">
        <v>25.0</v>
      </c>
      <c r="I6" s="6">
        <v>45.0</v>
      </c>
      <c r="J6" s="9">
        <v>45873.0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6">
        <f t="shared" si="1"/>
        <v>6</v>
      </c>
      <c r="B7" s="6" t="s">
        <v>136</v>
      </c>
      <c r="C7" s="6" t="s">
        <v>137</v>
      </c>
      <c r="D7" s="6" t="s">
        <v>23</v>
      </c>
      <c r="E7" s="6" t="s">
        <v>19</v>
      </c>
      <c r="F7" s="8" t="s">
        <v>24</v>
      </c>
      <c r="G7" s="6" t="s">
        <v>25</v>
      </c>
      <c r="H7" s="6">
        <v>20.0</v>
      </c>
      <c r="I7" s="6">
        <v>75.0</v>
      </c>
      <c r="J7" s="9">
        <v>45814.0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6">
        <f t="shared" si="1"/>
        <v>7</v>
      </c>
      <c r="B8" s="6" t="s">
        <v>138</v>
      </c>
      <c r="C8" s="6" t="s">
        <v>139</v>
      </c>
      <c r="D8" s="6" t="s">
        <v>23</v>
      </c>
      <c r="E8" s="6" t="s">
        <v>19</v>
      </c>
      <c r="F8" s="8" t="s">
        <v>24</v>
      </c>
      <c r="G8" s="6" t="s">
        <v>25</v>
      </c>
      <c r="H8" s="6">
        <v>20.0</v>
      </c>
      <c r="I8" s="6">
        <v>75.0</v>
      </c>
      <c r="J8" s="9">
        <v>45814.0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">
        <f t="shared" si="1"/>
        <v>8</v>
      </c>
      <c r="B9" s="6" t="s">
        <v>140</v>
      </c>
      <c r="C9" s="6" t="s">
        <v>141</v>
      </c>
      <c r="D9" s="6" t="s">
        <v>23</v>
      </c>
      <c r="E9" s="6" t="s">
        <v>19</v>
      </c>
      <c r="F9" s="8" t="s">
        <v>24</v>
      </c>
      <c r="G9" s="6" t="s">
        <v>25</v>
      </c>
      <c r="H9" s="6">
        <v>20.0</v>
      </c>
      <c r="I9" s="6">
        <v>75.0</v>
      </c>
      <c r="J9" s="9">
        <v>45814.0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">
        <f t="shared" si="1"/>
        <v>9</v>
      </c>
      <c r="B10" s="8" t="s">
        <v>142</v>
      </c>
      <c r="C10" s="8" t="s">
        <v>143</v>
      </c>
      <c r="D10" s="8" t="s">
        <v>46</v>
      </c>
      <c r="E10" s="8" t="s">
        <v>51</v>
      </c>
      <c r="F10" s="8" t="s">
        <v>48</v>
      </c>
      <c r="G10" s="6" t="s">
        <v>124</v>
      </c>
      <c r="H10" s="8">
        <v>15.5</v>
      </c>
      <c r="I10" s="8" t="s">
        <v>15</v>
      </c>
      <c r="J10" s="11">
        <v>45999.0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">
        <f t="shared" si="1"/>
        <v>10</v>
      </c>
      <c r="B11" s="8" t="s">
        <v>144</v>
      </c>
      <c r="C11" s="8" t="s">
        <v>145</v>
      </c>
      <c r="D11" s="8" t="s">
        <v>146</v>
      </c>
      <c r="E11" s="8" t="s">
        <v>147</v>
      </c>
      <c r="F11" s="8" t="s">
        <v>48</v>
      </c>
      <c r="G11" s="6" t="s">
        <v>124</v>
      </c>
      <c r="H11" s="8">
        <v>19.9</v>
      </c>
      <c r="I11" s="8" t="s">
        <v>15</v>
      </c>
      <c r="J11" s="11">
        <v>45909.0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8">
        <v>11.0</v>
      </c>
      <c r="B12" s="8" t="s">
        <v>148</v>
      </c>
      <c r="C12" s="8" t="s">
        <v>149</v>
      </c>
      <c r="D12" s="8" t="s">
        <v>150</v>
      </c>
      <c r="E12" s="8" t="s">
        <v>151</v>
      </c>
      <c r="F12" s="8" t="s">
        <v>48</v>
      </c>
      <c r="G12" s="8" t="s">
        <v>124</v>
      </c>
      <c r="H12" s="8">
        <v>11.0</v>
      </c>
      <c r="I12" s="8" t="s">
        <v>15</v>
      </c>
      <c r="J12" s="8" t="s">
        <v>152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>
        <v>12.0</v>
      </c>
      <c r="B13" s="8" t="s">
        <v>153</v>
      </c>
      <c r="C13" s="8" t="s">
        <v>154</v>
      </c>
      <c r="D13" s="8" t="s">
        <v>96</v>
      </c>
      <c r="E13" s="8" t="s">
        <v>36</v>
      </c>
      <c r="F13" s="8" t="s">
        <v>48</v>
      </c>
      <c r="G13" s="8" t="s">
        <v>25</v>
      </c>
      <c r="H13" s="8">
        <v>18.0</v>
      </c>
      <c r="I13" s="8" t="s">
        <v>15</v>
      </c>
      <c r="J13" s="8" t="s">
        <v>155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8">
        <v>13.0</v>
      </c>
      <c r="B14" s="8" t="s">
        <v>156</v>
      </c>
      <c r="C14" s="8" t="s">
        <v>157</v>
      </c>
      <c r="D14" s="8" t="s">
        <v>158</v>
      </c>
      <c r="E14" s="8" t="s">
        <v>102</v>
      </c>
      <c r="F14" s="8" t="s">
        <v>48</v>
      </c>
      <c r="G14" s="8" t="s">
        <v>15</v>
      </c>
      <c r="H14" s="8">
        <v>10.0</v>
      </c>
      <c r="I14" s="8" t="s">
        <v>15</v>
      </c>
      <c r="J14" s="8" t="s">
        <v>103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>
        <v>14.0</v>
      </c>
      <c r="B15" s="8" t="s">
        <v>159</v>
      </c>
      <c r="C15" s="8" t="s">
        <v>160</v>
      </c>
      <c r="D15" s="8" t="s">
        <v>161</v>
      </c>
      <c r="E15" s="8" t="s">
        <v>162</v>
      </c>
      <c r="F15" s="8" t="s">
        <v>24</v>
      </c>
      <c r="G15" s="8" t="s">
        <v>25</v>
      </c>
      <c r="H15" s="8">
        <v>7.0</v>
      </c>
      <c r="I15" s="8" t="s">
        <v>15</v>
      </c>
      <c r="J15" s="12">
        <v>46084.0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>
        <v>15.0</v>
      </c>
      <c r="B16" s="8" t="s">
        <v>163</v>
      </c>
      <c r="C16" s="8" t="s">
        <v>149</v>
      </c>
      <c r="D16" s="8" t="s">
        <v>164</v>
      </c>
      <c r="E16" s="8" t="s">
        <v>165</v>
      </c>
      <c r="F16" s="8" t="s">
        <v>24</v>
      </c>
      <c r="G16" s="8" t="s">
        <v>15</v>
      </c>
      <c r="H16" s="8">
        <v>12.0</v>
      </c>
      <c r="I16" s="8">
        <v>25.0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>
        <v>16.0</v>
      </c>
      <c r="B17" s="8" t="s">
        <v>166</v>
      </c>
      <c r="C17" s="8" t="s">
        <v>167</v>
      </c>
      <c r="D17" s="8" t="s">
        <v>108</v>
      </c>
      <c r="E17" s="8" t="s">
        <v>109</v>
      </c>
      <c r="F17" s="8" t="s">
        <v>48</v>
      </c>
      <c r="G17" s="8" t="s">
        <v>25</v>
      </c>
      <c r="H17" s="8">
        <v>8.4</v>
      </c>
      <c r="I17" s="8" t="s">
        <v>15</v>
      </c>
      <c r="J17" s="13">
        <v>46176.0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9.88"/>
    <col customWidth="1" min="5" max="5" width="19.63"/>
    <col customWidth="1" min="6" max="6" width="15.25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113</v>
      </c>
      <c r="H1" s="1" t="s">
        <v>7</v>
      </c>
      <c r="I1" s="1" t="s">
        <v>168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6">
        <v>1.0</v>
      </c>
      <c r="B2" s="6" t="s">
        <v>169</v>
      </c>
      <c r="C2" s="6" t="s">
        <v>170</v>
      </c>
      <c r="D2" s="6" t="s">
        <v>171</v>
      </c>
      <c r="E2" s="6" t="s">
        <v>172</v>
      </c>
      <c r="F2" s="6" t="s">
        <v>118</v>
      </c>
      <c r="G2" s="6" t="s">
        <v>15</v>
      </c>
      <c r="H2" s="6">
        <v>26.0</v>
      </c>
      <c r="I2" s="6">
        <v>50.0</v>
      </c>
      <c r="J2" s="6" t="s">
        <v>173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>
        <f t="shared" ref="A3:A17" si="1">A2+1</f>
        <v>2</v>
      </c>
      <c r="B3" s="6" t="s">
        <v>174</v>
      </c>
      <c r="C3" s="6" t="s">
        <v>175</v>
      </c>
      <c r="D3" s="6" t="s">
        <v>128</v>
      </c>
      <c r="E3" s="6" t="s">
        <v>122</v>
      </c>
      <c r="F3" s="6" t="s">
        <v>118</v>
      </c>
      <c r="G3" s="6" t="s">
        <v>15</v>
      </c>
      <c r="H3" s="6">
        <v>18.0</v>
      </c>
      <c r="I3" s="6">
        <v>45.0</v>
      </c>
      <c r="J3" s="6" t="s">
        <v>129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>
        <f t="shared" si="1"/>
        <v>3</v>
      </c>
      <c r="B4" s="6" t="s">
        <v>176</v>
      </c>
      <c r="C4" s="6" t="s">
        <v>177</v>
      </c>
      <c r="D4" s="6" t="s">
        <v>178</v>
      </c>
      <c r="E4" s="6" t="s">
        <v>122</v>
      </c>
      <c r="F4" s="6" t="s">
        <v>118</v>
      </c>
      <c r="G4" s="6" t="s">
        <v>15</v>
      </c>
      <c r="H4" s="6" t="s">
        <v>15</v>
      </c>
      <c r="I4" s="6">
        <v>50.0</v>
      </c>
      <c r="J4" s="6" t="s">
        <v>179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">
        <f t="shared" si="1"/>
        <v>4</v>
      </c>
      <c r="B5" s="6" t="s">
        <v>180</v>
      </c>
      <c r="C5" s="6" t="s">
        <v>181</v>
      </c>
      <c r="D5" s="6" t="s">
        <v>132</v>
      </c>
      <c r="E5" s="6" t="s">
        <v>133</v>
      </c>
      <c r="F5" s="6" t="s">
        <v>118</v>
      </c>
      <c r="G5" s="6" t="s">
        <v>15</v>
      </c>
      <c r="H5" s="6">
        <v>25.0</v>
      </c>
      <c r="I5" s="6">
        <v>45.0</v>
      </c>
      <c r="J5" s="9">
        <v>45873.0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6">
        <f t="shared" si="1"/>
        <v>5</v>
      </c>
      <c r="B6" s="6" t="s">
        <v>182</v>
      </c>
      <c r="C6" s="6" t="s">
        <v>183</v>
      </c>
      <c r="D6" s="6" t="s">
        <v>128</v>
      </c>
      <c r="E6" s="6" t="s">
        <v>19</v>
      </c>
      <c r="F6" s="6" t="s">
        <v>118</v>
      </c>
      <c r="G6" s="6" t="s">
        <v>15</v>
      </c>
      <c r="H6" s="6">
        <v>18.0</v>
      </c>
      <c r="I6" s="6">
        <v>45.0</v>
      </c>
      <c r="J6" s="9">
        <v>45694.0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3">
        <f t="shared" si="1"/>
        <v>6</v>
      </c>
      <c r="B7" s="3" t="s">
        <v>184</v>
      </c>
      <c r="C7" s="3" t="s">
        <v>185</v>
      </c>
      <c r="D7" s="3" t="s">
        <v>23</v>
      </c>
      <c r="E7" s="3" t="s">
        <v>19</v>
      </c>
      <c r="F7" s="3" t="s">
        <v>186</v>
      </c>
      <c r="G7" s="3" t="s">
        <v>187</v>
      </c>
      <c r="H7" s="3">
        <v>20.0</v>
      </c>
      <c r="I7" s="3">
        <v>75.0</v>
      </c>
      <c r="J7" s="4">
        <v>45814.0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>
        <f t="shared" si="1"/>
        <v>7</v>
      </c>
      <c r="B8" s="8" t="s">
        <v>188</v>
      </c>
      <c r="C8" s="8" t="s">
        <v>189</v>
      </c>
      <c r="D8" s="8" t="s">
        <v>42</v>
      </c>
      <c r="E8" s="8" t="s">
        <v>43</v>
      </c>
      <c r="F8" s="6" t="s">
        <v>186</v>
      </c>
      <c r="G8" s="8" t="s">
        <v>15</v>
      </c>
      <c r="H8" s="8">
        <v>22.84</v>
      </c>
      <c r="I8" s="8">
        <v>75.0</v>
      </c>
      <c r="J8" s="11">
        <v>45999.0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">
        <f t="shared" si="1"/>
        <v>8</v>
      </c>
      <c r="B9" s="8" t="s">
        <v>190</v>
      </c>
      <c r="C9" s="8" t="s">
        <v>191</v>
      </c>
      <c r="D9" s="8" t="s">
        <v>42</v>
      </c>
      <c r="E9" s="8" t="s">
        <v>43</v>
      </c>
      <c r="F9" s="6" t="s">
        <v>186</v>
      </c>
      <c r="G9" s="8" t="s">
        <v>15</v>
      </c>
      <c r="H9" s="8">
        <v>22.84</v>
      </c>
      <c r="I9" s="8">
        <v>75.0</v>
      </c>
      <c r="J9" s="11">
        <v>45999.0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">
        <f t="shared" si="1"/>
        <v>9</v>
      </c>
      <c r="B10" s="8" t="s">
        <v>192</v>
      </c>
      <c r="C10" s="8" t="s">
        <v>193</v>
      </c>
      <c r="D10" s="8" t="s">
        <v>146</v>
      </c>
      <c r="E10" s="8" t="s">
        <v>147</v>
      </c>
      <c r="F10" s="8" t="s">
        <v>56</v>
      </c>
      <c r="G10" s="6" t="s">
        <v>124</v>
      </c>
      <c r="H10" s="8">
        <v>19.9</v>
      </c>
      <c r="I10" s="8">
        <v>30.0</v>
      </c>
      <c r="J10" s="11">
        <v>45909.0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">
        <f t="shared" si="1"/>
        <v>10</v>
      </c>
      <c r="B11" s="8" t="s">
        <v>194</v>
      </c>
      <c r="C11" s="8" t="s">
        <v>195</v>
      </c>
      <c r="D11" s="8" t="s">
        <v>146</v>
      </c>
      <c r="E11" s="8" t="s">
        <v>147</v>
      </c>
      <c r="F11" s="8" t="s">
        <v>56</v>
      </c>
      <c r="G11" s="6" t="s">
        <v>124</v>
      </c>
      <c r="H11" s="8">
        <v>19.9</v>
      </c>
      <c r="I11" s="8">
        <v>30.0</v>
      </c>
      <c r="J11" s="11">
        <v>45909.0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6">
        <f t="shared" si="1"/>
        <v>11</v>
      </c>
      <c r="B12" s="8" t="s">
        <v>196</v>
      </c>
      <c r="C12" s="8" t="s">
        <v>197</v>
      </c>
      <c r="D12" s="8" t="s">
        <v>146</v>
      </c>
      <c r="E12" s="8" t="s">
        <v>147</v>
      </c>
      <c r="F12" s="8" t="s">
        <v>48</v>
      </c>
      <c r="G12" s="6" t="s">
        <v>124</v>
      </c>
      <c r="H12" s="8">
        <v>19.9</v>
      </c>
      <c r="I12" s="8">
        <v>30.0</v>
      </c>
      <c r="J12" s="11">
        <v>45909.0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6">
        <f t="shared" si="1"/>
        <v>12</v>
      </c>
      <c r="B13" s="8" t="s">
        <v>198</v>
      </c>
      <c r="C13" s="8" t="s">
        <v>199</v>
      </c>
      <c r="D13" s="8" t="s">
        <v>18</v>
      </c>
      <c r="E13" s="8" t="s">
        <v>200</v>
      </c>
      <c r="F13" s="8" t="s">
        <v>14</v>
      </c>
      <c r="G13" s="8" t="s">
        <v>15</v>
      </c>
      <c r="H13" s="8" t="s">
        <v>15</v>
      </c>
      <c r="I13" s="8">
        <v>50.0</v>
      </c>
      <c r="J13" s="8" t="s">
        <v>201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6">
        <f t="shared" si="1"/>
        <v>13</v>
      </c>
      <c r="B14" s="8" t="s">
        <v>202</v>
      </c>
      <c r="C14" s="8" t="s">
        <v>203</v>
      </c>
      <c r="D14" s="8" t="s">
        <v>204</v>
      </c>
      <c r="E14" s="8" t="s">
        <v>205</v>
      </c>
      <c r="F14" s="8" t="s">
        <v>24</v>
      </c>
      <c r="G14" s="8" t="s">
        <v>15</v>
      </c>
      <c r="H14" s="8">
        <v>15.0</v>
      </c>
      <c r="I14" s="8">
        <v>45.0</v>
      </c>
      <c r="J14" s="8" t="s">
        <v>206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6">
        <f t="shared" si="1"/>
        <v>14</v>
      </c>
      <c r="B15" s="8" t="s">
        <v>207</v>
      </c>
      <c r="C15" s="8" t="s">
        <v>208</v>
      </c>
      <c r="D15" s="8" t="s">
        <v>204</v>
      </c>
      <c r="E15" s="8" t="s">
        <v>209</v>
      </c>
      <c r="F15" s="8" t="s">
        <v>24</v>
      </c>
      <c r="G15" s="8" t="s">
        <v>15</v>
      </c>
      <c r="H15" s="8">
        <v>15.0</v>
      </c>
      <c r="I15" s="8">
        <v>45.0</v>
      </c>
      <c r="J15" s="11">
        <v>45911.0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6">
        <f t="shared" si="1"/>
        <v>15</v>
      </c>
      <c r="B16" s="8" t="s">
        <v>210</v>
      </c>
      <c r="C16" s="8" t="s">
        <v>211</v>
      </c>
      <c r="D16" s="8" t="s">
        <v>35</v>
      </c>
      <c r="E16" s="8" t="s">
        <v>212</v>
      </c>
      <c r="F16" s="8" t="s">
        <v>24</v>
      </c>
      <c r="G16" s="8" t="s">
        <v>15</v>
      </c>
      <c r="H16" s="8">
        <v>16.0</v>
      </c>
      <c r="I16" s="8">
        <v>35.0</v>
      </c>
      <c r="J16" s="8" t="s">
        <v>70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6">
        <f t="shared" si="1"/>
        <v>16</v>
      </c>
      <c r="B17" s="8" t="s">
        <v>213</v>
      </c>
      <c r="C17" s="8" t="s">
        <v>214</v>
      </c>
      <c r="D17" s="8" t="s">
        <v>164</v>
      </c>
      <c r="E17" s="8" t="s">
        <v>215</v>
      </c>
      <c r="F17" s="8" t="s">
        <v>48</v>
      </c>
      <c r="G17" s="8" t="s">
        <v>124</v>
      </c>
      <c r="H17" s="8">
        <v>12.0</v>
      </c>
      <c r="I17" s="7"/>
      <c r="J17" s="8" t="s">
        <v>216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8">
        <v>17.0</v>
      </c>
      <c r="B18" s="8" t="s">
        <v>217</v>
      </c>
      <c r="C18" s="8" t="s">
        <v>218</v>
      </c>
      <c r="D18" s="8" t="s">
        <v>77</v>
      </c>
      <c r="E18" s="8" t="s">
        <v>78</v>
      </c>
      <c r="F18" s="8" t="s">
        <v>79</v>
      </c>
      <c r="G18" s="8" t="s">
        <v>15</v>
      </c>
      <c r="H18" s="8">
        <v>15.5</v>
      </c>
      <c r="I18" s="8">
        <v>50.0</v>
      </c>
      <c r="J18" s="8" t="s">
        <v>80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>
        <v>18.0</v>
      </c>
      <c r="B19" s="8" t="s">
        <v>219</v>
      </c>
      <c r="C19" s="8" t="s">
        <v>220</v>
      </c>
      <c r="D19" s="8" t="s">
        <v>77</v>
      </c>
      <c r="E19" s="8" t="s">
        <v>78</v>
      </c>
      <c r="F19" s="8" t="s">
        <v>79</v>
      </c>
      <c r="G19" s="8" t="s">
        <v>15</v>
      </c>
      <c r="H19" s="8">
        <v>15.5</v>
      </c>
      <c r="I19" s="8">
        <v>50.0</v>
      </c>
      <c r="J19" s="8" t="s">
        <v>80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">
        <v>19.0</v>
      </c>
      <c r="B20" s="8" t="s">
        <v>221</v>
      </c>
      <c r="C20" s="8" t="s">
        <v>222</v>
      </c>
      <c r="D20" s="8" t="s">
        <v>223</v>
      </c>
      <c r="E20" s="8" t="s">
        <v>224</v>
      </c>
      <c r="F20" s="8" t="s">
        <v>79</v>
      </c>
      <c r="G20" s="8" t="s">
        <v>15</v>
      </c>
      <c r="H20" s="8">
        <v>11.0</v>
      </c>
      <c r="I20" s="8">
        <v>40.0</v>
      </c>
      <c r="J20" s="8" t="s">
        <v>225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8">
        <v>20.0</v>
      </c>
      <c r="B21" s="8" t="s">
        <v>226</v>
      </c>
      <c r="C21" s="8" t="s">
        <v>227</v>
      </c>
      <c r="D21" s="8" t="s">
        <v>96</v>
      </c>
      <c r="E21" s="8" t="s">
        <v>97</v>
      </c>
      <c r="F21" s="8" t="s">
        <v>48</v>
      </c>
      <c r="G21" s="8" t="s">
        <v>25</v>
      </c>
      <c r="H21" s="8">
        <v>18.0</v>
      </c>
      <c r="I21" s="7"/>
      <c r="J21" s="8" t="s">
        <v>98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8">
        <v>21.0</v>
      </c>
      <c r="B22" s="8" t="s">
        <v>228</v>
      </c>
      <c r="C22" s="7"/>
      <c r="D22" s="8" t="s">
        <v>229</v>
      </c>
      <c r="E22" s="8" t="s">
        <v>230</v>
      </c>
      <c r="F22" s="8" t="s">
        <v>48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13"/>
    <col customWidth="1" min="4" max="4" width="13.63"/>
    <col customWidth="1" min="5" max="5" width="18.75"/>
    <col customWidth="1" min="6" max="6" width="14.25"/>
    <col customWidth="1" min="7" max="7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113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6">
        <v>1.0</v>
      </c>
      <c r="B2" s="6" t="s">
        <v>231</v>
      </c>
      <c r="C2" s="6" t="s">
        <v>232</v>
      </c>
      <c r="D2" s="6" t="s">
        <v>12</v>
      </c>
      <c r="E2" s="6" t="s">
        <v>13</v>
      </c>
      <c r="F2" s="6" t="s">
        <v>186</v>
      </c>
      <c r="G2" s="6" t="s">
        <v>15</v>
      </c>
      <c r="H2" s="6" t="s">
        <v>15</v>
      </c>
      <c r="I2" s="6">
        <v>40.0</v>
      </c>
      <c r="J2" s="9">
        <v>45545.0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>
        <f t="shared" ref="A3:A11" si="1">A2+1</f>
        <v>2</v>
      </c>
      <c r="B3" s="6" t="s">
        <v>233</v>
      </c>
      <c r="C3" s="6" t="s">
        <v>234</v>
      </c>
      <c r="D3" s="6" t="s">
        <v>116</v>
      </c>
      <c r="E3" s="6" t="s">
        <v>117</v>
      </c>
      <c r="F3" s="6" t="s">
        <v>118</v>
      </c>
      <c r="G3" s="6" t="s">
        <v>15</v>
      </c>
      <c r="H3" s="6">
        <v>11.0</v>
      </c>
      <c r="I3" s="6">
        <v>50.0</v>
      </c>
      <c r="J3" s="9">
        <v>45577.0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>
        <f t="shared" si="1"/>
        <v>3</v>
      </c>
      <c r="B4" s="6" t="s">
        <v>235</v>
      </c>
      <c r="C4" s="6" t="s">
        <v>236</v>
      </c>
      <c r="D4" s="6" t="s">
        <v>116</v>
      </c>
      <c r="E4" s="6" t="s">
        <v>117</v>
      </c>
      <c r="F4" s="6" t="s">
        <v>118</v>
      </c>
      <c r="G4" s="6" t="s">
        <v>15</v>
      </c>
      <c r="H4" s="6">
        <v>11.0</v>
      </c>
      <c r="I4" s="6">
        <v>50.0</v>
      </c>
      <c r="J4" s="9">
        <v>45577.0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">
        <f t="shared" si="1"/>
        <v>4</v>
      </c>
      <c r="B5" s="6" t="s">
        <v>237</v>
      </c>
      <c r="C5" s="6" t="s">
        <v>238</v>
      </c>
      <c r="D5" s="6" t="s">
        <v>171</v>
      </c>
      <c r="E5" s="6" t="s">
        <v>172</v>
      </c>
      <c r="F5" s="6" t="s">
        <v>186</v>
      </c>
      <c r="G5" s="6" t="s">
        <v>15</v>
      </c>
      <c r="H5" s="6">
        <v>26.0</v>
      </c>
      <c r="I5" s="6">
        <v>50.0</v>
      </c>
      <c r="J5" s="6" t="s">
        <v>173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6">
        <f t="shared" si="1"/>
        <v>5</v>
      </c>
      <c r="B6" s="6" t="s">
        <v>239</v>
      </c>
      <c r="C6" s="6" t="s">
        <v>240</v>
      </c>
      <c r="D6" s="6" t="s">
        <v>178</v>
      </c>
      <c r="E6" s="6" t="s">
        <v>122</v>
      </c>
      <c r="F6" s="6" t="s">
        <v>118</v>
      </c>
      <c r="G6" s="6" t="s">
        <v>15</v>
      </c>
      <c r="H6" s="6" t="s">
        <v>15</v>
      </c>
      <c r="I6" s="6">
        <v>50.0</v>
      </c>
      <c r="J6" s="6" t="s">
        <v>179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6">
        <f t="shared" si="1"/>
        <v>6</v>
      </c>
      <c r="B7" s="6" t="s">
        <v>241</v>
      </c>
      <c r="C7" s="6" t="s">
        <v>242</v>
      </c>
      <c r="D7" s="6" t="s">
        <v>243</v>
      </c>
      <c r="E7" s="15"/>
      <c r="F7" s="6" t="s">
        <v>186</v>
      </c>
      <c r="G7" s="6" t="s">
        <v>124</v>
      </c>
      <c r="H7" s="6" t="s">
        <v>15</v>
      </c>
      <c r="I7" s="6" t="s">
        <v>15</v>
      </c>
      <c r="J7" s="6" t="s">
        <v>244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6">
        <f t="shared" si="1"/>
        <v>7</v>
      </c>
      <c r="B8" s="8" t="s">
        <v>245</v>
      </c>
      <c r="C8" s="8" t="s">
        <v>246</v>
      </c>
      <c r="D8" s="8" t="s">
        <v>247</v>
      </c>
      <c r="E8" s="8" t="s">
        <v>248</v>
      </c>
      <c r="F8" s="6" t="s">
        <v>249</v>
      </c>
      <c r="G8" s="8" t="s">
        <v>25</v>
      </c>
      <c r="H8" s="8">
        <v>12.0</v>
      </c>
      <c r="I8" s="8">
        <v>30.0</v>
      </c>
      <c r="J8" s="8" t="s">
        <v>250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">
        <f t="shared" si="1"/>
        <v>8</v>
      </c>
      <c r="B9" s="8" t="s">
        <v>251</v>
      </c>
      <c r="C9" s="8" t="s">
        <v>252</v>
      </c>
      <c r="D9" s="8" t="s">
        <v>247</v>
      </c>
      <c r="E9" s="8" t="s">
        <v>248</v>
      </c>
      <c r="F9" s="6" t="s">
        <v>249</v>
      </c>
      <c r="G9" s="8" t="s">
        <v>25</v>
      </c>
      <c r="H9" s="8">
        <v>12.0</v>
      </c>
      <c r="I9" s="8">
        <v>30.0</v>
      </c>
      <c r="J9" s="8" t="s">
        <v>250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">
        <f t="shared" si="1"/>
        <v>9</v>
      </c>
      <c r="B10" s="8" t="s">
        <v>253</v>
      </c>
      <c r="C10" s="8" t="s">
        <v>254</v>
      </c>
      <c r="D10" s="8" t="s">
        <v>204</v>
      </c>
      <c r="E10" s="8" t="s">
        <v>255</v>
      </c>
      <c r="F10" s="8" t="s">
        <v>256</v>
      </c>
      <c r="G10" s="8" t="s">
        <v>25</v>
      </c>
      <c r="H10" s="8">
        <v>15.0</v>
      </c>
      <c r="I10" s="8">
        <v>45.0</v>
      </c>
      <c r="J10" s="8" t="s">
        <v>257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">
        <f t="shared" si="1"/>
        <v>10</v>
      </c>
      <c r="B11" s="8" t="s">
        <v>258</v>
      </c>
      <c r="C11" s="8" t="s">
        <v>259</v>
      </c>
      <c r="D11" s="8" t="s">
        <v>65</v>
      </c>
      <c r="E11" s="8" t="s">
        <v>66</v>
      </c>
      <c r="F11" s="8" t="s">
        <v>24</v>
      </c>
      <c r="G11" s="8" t="s">
        <v>15</v>
      </c>
      <c r="H11" s="8">
        <v>8.0</v>
      </c>
      <c r="I11" s="8">
        <v>30.0</v>
      </c>
      <c r="J11" s="8" t="s">
        <v>67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8">
        <v>11.0</v>
      </c>
      <c r="B12" s="8" t="s">
        <v>260</v>
      </c>
      <c r="C12" s="8" t="s">
        <v>261</v>
      </c>
      <c r="D12" s="8" t="s">
        <v>223</v>
      </c>
      <c r="E12" s="8" t="s">
        <v>224</v>
      </c>
      <c r="F12" s="8" t="s">
        <v>24</v>
      </c>
      <c r="G12" s="8" t="s">
        <v>15</v>
      </c>
      <c r="H12" s="8">
        <v>11.0</v>
      </c>
      <c r="I12" s="8">
        <v>40.0</v>
      </c>
      <c r="J12" s="8" t="s">
        <v>262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>
        <v>12.0</v>
      </c>
      <c r="B13" s="8" t="s">
        <v>263</v>
      </c>
      <c r="C13" s="8" t="s">
        <v>264</v>
      </c>
      <c r="D13" s="8" t="s">
        <v>265</v>
      </c>
      <c r="E13" s="8" t="s">
        <v>266</v>
      </c>
      <c r="F13" s="8" t="s">
        <v>48</v>
      </c>
      <c r="G13" s="8" t="s">
        <v>15</v>
      </c>
      <c r="H13" s="8">
        <v>7.8</v>
      </c>
      <c r="I13" s="8" t="s">
        <v>15</v>
      </c>
      <c r="J13" s="11">
        <v>46204.0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8">
        <v>13.0</v>
      </c>
      <c r="B14" s="8" t="s">
        <v>267</v>
      </c>
      <c r="C14" s="8" t="s">
        <v>268</v>
      </c>
      <c r="D14" s="8" t="s">
        <v>158</v>
      </c>
      <c r="E14" s="8" t="s">
        <v>102</v>
      </c>
      <c r="F14" s="8" t="s">
        <v>48</v>
      </c>
      <c r="G14" s="8" t="s">
        <v>15</v>
      </c>
      <c r="H14" s="8">
        <v>10.0</v>
      </c>
      <c r="I14" s="8" t="s">
        <v>15</v>
      </c>
      <c r="J14" s="8" t="s">
        <v>103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>
        <v>14.0</v>
      </c>
      <c r="B15" s="8" t="s">
        <v>269</v>
      </c>
      <c r="C15" s="7"/>
      <c r="D15" s="8" t="s">
        <v>158</v>
      </c>
      <c r="E15" s="7"/>
      <c r="F15" s="8" t="s">
        <v>270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38"/>
    <col customWidth="1" min="5" max="5" width="18.75"/>
    <col customWidth="1" min="6" max="6" width="16.5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113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6">
        <v>1.0</v>
      </c>
      <c r="B2" s="6" t="s">
        <v>271</v>
      </c>
      <c r="C2" s="6" t="s">
        <v>272</v>
      </c>
      <c r="D2" s="6" t="s">
        <v>116</v>
      </c>
      <c r="E2" s="6" t="s">
        <v>273</v>
      </c>
      <c r="F2" s="6" t="s">
        <v>118</v>
      </c>
      <c r="G2" s="6" t="s">
        <v>25</v>
      </c>
      <c r="H2" s="6">
        <v>11.0</v>
      </c>
      <c r="I2" s="6">
        <v>50.0</v>
      </c>
      <c r="J2" s="9">
        <v>45577.0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>
        <f t="shared" ref="A3:A13" si="1">A2+1</f>
        <v>2</v>
      </c>
      <c r="B3" s="6" t="s">
        <v>274</v>
      </c>
      <c r="C3" s="6" t="s">
        <v>275</v>
      </c>
      <c r="D3" s="6" t="s">
        <v>116</v>
      </c>
      <c r="E3" s="6" t="s">
        <v>273</v>
      </c>
      <c r="F3" s="6" t="s">
        <v>118</v>
      </c>
      <c r="G3" s="6" t="s">
        <v>15</v>
      </c>
      <c r="H3" s="6">
        <v>11.0</v>
      </c>
      <c r="I3" s="6">
        <v>50.0</v>
      </c>
      <c r="J3" s="9">
        <v>45577.0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>
        <f t="shared" si="1"/>
        <v>3</v>
      </c>
      <c r="B4" s="6" t="s">
        <v>276</v>
      </c>
      <c r="C4" s="6" t="s">
        <v>277</v>
      </c>
      <c r="D4" s="6" t="s">
        <v>178</v>
      </c>
      <c r="E4" s="6" t="s">
        <v>19</v>
      </c>
      <c r="F4" s="6" t="s">
        <v>118</v>
      </c>
      <c r="G4" s="6" t="s">
        <v>15</v>
      </c>
      <c r="H4" s="6" t="s">
        <v>15</v>
      </c>
      <c r="I4" s="6">
        <v>50.0</v>
      </c>
      <c r="J4" s="6" t="s">
        <v>179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">
        <f t="shared" si="1"/>
        <v>4</v>
      </c>
      <c r="B5" s="6" t="s">
        <v>278</v>
      </c>
      <c r="C5" s="6" t="s">
        <v>279</v>
      </c>
      <c r="D5" s="6" t="s">
        <v>128</v>
      </c>
      <c r="E5" s="6" t="s">
        <v>19</v>
      </c>
      <c r="F5" s="6" t="s">
        <v>280</v>
      </c>
      <c r="G5" s="6" t="s">
        <v>15</v>
      </c>
      <c r="H5" s="6">
        <v>18.0</v>
      </c>
      <c r="I5" s="6">
        <v>45.0</v>
      </c>
      <c r="J5" s="6" t="s">
        <v>281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6">
        <f t="shared" si="1"/>
        <v>5</v>
      </c>
      <c r="B6" s="6" t="s">
        <v>282</v>
      </c>
      <c r="C6" s="6" t="s">
        <v>283</v>
      </c>
      <c r="D6" s="6" t="s">
        <v>18</v>
      </c>
      <c r="E6" s="6" t="s">
        <v>19</v>
      </c>
      <c r="F6" s="6" t="s">
        <v>14</v>
      </c>
      <c r="G6" s="6" t="s">
        <v>15</v>
      </c>
      <c r="H6" s="6" t="s">
        <v>15</v>
      </c>
      <c r="I6" s="6">
        <v>50.0</v>
      </c>
      <c r="J6" s="6" t="s">
        <v>284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6">
        <f t="shared" si="1"/>
        <v>6</v>
      </c>
      <c r="B7" s="6" t="s">
        <v>285</v>
      </c>
      <c r="C7" s="6" t="s">
        <v>286</v>
      </c>
      <c r="D7" s="6" t="s">
        <v>18</v>
      </c>
      <c r="E7" s="6" t="s">
        <v>19</v>
      </c>
      <c r="F7" s="6" t="s">
        <v>14</v>
      </c>
      <c r="G7" s="6" t="s">
        <v>15</v>
      </c>
      <c r="H7" s="6" t="s">
        <v>15</v>
      </c>
      <c r="I7" s="6">
        <v>50.0</v>
      </c>
      <c r="J7" s="1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6">
        <f t="shared" si="1"/>
        <v>7</v>
      </c>
      <c r="B8" s="8" t="s">
        <v>287</v>
      </c>
      <c r="C8" s="8" t="s">
        <v>288</v>
      </c>
      <c r="D8" s="8" t="s">
        <v>42</v>
      </c>
      <c r="E8" s="8" t="s">
        <v>43</v>
      </c>
      <c r="F8" s="8" t="s">
        <v>24</v>
      </c>
      <c r="G8" s="8" t="s">
        <v>15</v>
      </c>
      <c r="H8" s="8">
        <v>22.84</v>
      </c>
      <c r="I8" s="8">
        <v>75.0</v>
      </c>
      <c r="J8" s="12">
        <v>45999.0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">
        <f t="shared" si="1"/>
        <v>8</v>
      </c>
      <c r="B9" s="8" t="s">
        <v>289</v>
      </c>
      <c r="C9" s="8" t="s">
        <v>290</v>
      </c>
      <c r="D9" s="8" t="s">
        <v>247</v>
      </c>
      <c r="E9" s="8" t="s">
        <v>248</v>
      </c>
      <c r="F9" s="8" t="s">
        <v>56</v>
      </c>
      <c r="G9" s="8" t="s">
        <v>25</v>
      </c>
      <c r="H9" s="8">
        <v>12.0</v>
      </c>
      <c r="I9" s="8">
        <v>30.0</v>
      </c>
      <c r="J9" s="8" t="s">
        <v>250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">
        <f t="shared" si="1"/>
        <v>9</v>
      </c>
      <c r="B10" s="8" t="s">
        <v>291</v>
      </c>
      <c r="C10" s="8" t="s">
        <v>292</v>
      </c>
      <c r="D10" s="8" t="s">
        <v>146</v>
      </c>
      <c r="E10" s="8" t="s">
        <v>147</v>
      </c>
      <c r="F10" s="8" t="s">
        <v>56</v>
      </c>
      <c r="G10" s="8" t="s">
        <v>25</v>
      </c>
      <c r="H10" s="8">
        <v>19.9</v>
      </c>
      <c r="I10" s="8" t="s">
        <v>15</v>
      </c>
      <c r="J10" s="11">
        <v>45909.0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">
        <f t="shared" si="1"/>
        <v>10</v>
      </c>
      <c r="B11" s="8" t="s">
        <v>293</v>
      </c>
      <c r="C11" s="8" t="s">
        <v>294</v>
      </c>
      <c r="D11" s="8" t="s">
        <v>204</v>
      </c>
      <c r="E11" s="8" t="s">
        <v>295</v>
      </c>
      <c r="F11" s="8" t="s">
        <v>296</v>
      </c>
      <c r="G11" s="8" t="s">
        <v>15</v>
      </c>
      <c r="H11" s="8">
        <v>15.0</v>
      </c>
      <c r="I11" s="8">
        <v>45.0</v>
      </c>
      <c r="J11" s="8" t="s">
        <v>206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6">
        <f t="shared" si="1"/>
        <v>11</v>
      </c>
      <c r="B12" s="8" t="s">
        <v>297</v>
      </c>
      <c r="C12" s="8" t="s">
        <v>298</v>
      </c>
      <c r="D12" s="8" t="s">
        <v>299</v>
      </c>
      <c r="E12" s="8" t="s">
        <v>84</v>
      </c>
      <c r="F12" s="8" t="s">
        <v>300</v>
      </c>
      <c r="G12" s="8" t="s">
        <v>25</v>
      </c>
      <c r="H12" s="8">
        <v>12.0</v>
      </c>
      <c r="I12" s="8">
        <v>40.0</v>
      </c>
      <c r="J12" s="8" t="s">
        <v>301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6">
        <f t="shared" si="1"/>
        <v>12</v>
      </c>
      <c r="B13" s="8" t="s">
        <v>302</v>
      </c>
      <c r="C13" s="8" t="s">
        <v>303</v>
      </c>
      <c r="D13" s="8" t="s">
        <v>304</v>
      </c>
      <c r="E13" s="8" t="s">
        <v>305</v>
      </c>
      <c r="F13" s="8" t="s">
        <v>79</v>
      </c>
      <c r="G13" s="8" t="s">
        <v>15</v>
      </c>
      <c r="H13" s="8">
        <v>16.0</v>
      </c>
      <c r="I13" s="8">
        <v>35.0</v>
      </c>
      <c r="J13" s="8" t="s">
        <v>301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8">
        <v>13.0</v>
      </c>
      <c r="B14" s="8" t="s">
        <v>306</v>
      </c>
      <c r="C14" s="8" t="s">
        <v>307</v>
      </c>
      <c r="D14" s="8" t="s">
        <v>164</v>
      </c>
      <c r="E14" s="8" t="s">
        <v>308</v>
      </c>
      <c r="F14" s="8" t="s">
        <v>48</v>
      </c>
      <c r="G14" s="8" t="s">
        <v>15</v>
      </c>
      <c r="H14" s="8">
        <v>12.0</v>
      </c>
      <c r="I14" s="8" t="s">
        <v>15</v>
      </c>
      <c r="J14" s="8" t="s">
        <v>309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>
        <v>14.0</v>
      </c>
      <c r="B15" s="8" t="s">
        <v>310</v>
      </c>
      <c r="C15" s="8" t="s">
        <v>311</v>
      </c>
      <c r="D15" s="8" t="s">
        <v>128</v>
      </c>
      <c r="E15" s="8" t="s">
        <v>312</v>
      </c>
      <c r="F15" s="8" t="s">
        <v>79</v>
      </c>
      <c r="G15" s="8" t="s">
        <v>15</v>
      </c>
      <c r="H15" s="8">
        <v>18.0</v>
      </c>
      <c r="I15" s="8"/>
      <c r="J15" s="8" t="s">
        <v>85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>
        <v>15.0</v>
      </c>
      <c r="B16" s="8" t="s">
        <v>313</v>
      </c>
      <c r="C16" s="8" t="s">
        <v>314</v>
      </c>
      <c r="D16" s="8" t="s">
        <v>315</v>
      </c>
      <c r="E16" s="8" t="s">
        <v>316</v>
      </c>
      <c r="F16" s="8" t="s">
        <v>79</v>
      </c>
      <c r="G16" s="8" t="s">
        <v>15</v>
      </c>
      <c r="H16" s="8">
        <v>18.15</v>
      </c>
      <c r="I16" s="7"/>
      <c r="J16" s="8" t="s">
        <v>85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>
        <v>16.0</v>
      </c>
      <c r="B17" s="8" t="s">
        <v>317</v>
      </c>
      <c r="C17" s="8" t="s">
        <v>318</v>
      </c>
      <c r="D17" s="8" t="s">
        <v>319</v>
      </c>
      <c r="E17" s="8" t="s">
        <v>316</v>
      </c>
      <c r="F17" s="8" t="s">
        <v>79</v>
      </c>
      <c r="G17" s="8" t="s">
        <v>15</v>
      </c>
      <c r="H17" s="8">
        <v>10.0</v>
      </c>
      <c r="I17" s="8">
        <v>30.0</v>
      </c>
      <c r="J17" s="8" t="s">
        <v>320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8">
        <v>17.0</v>
      </c>
      <c r="B18" s="8" t="s">
        <v>321</v>
      </c>
      <c r="C18" s="8" t="s">
        <v>322</v>
      </c>
      <c r="D18" s="8" t="s">
        <v>96</v>
      </c>
      <c r="E18" s="8" t="s">
        <v>36</v>
      </c>
      <c r="F18" s="8" t="s">
        <v>48</v>
      </c>
      <c r="G18" s="8" t="s">
        <v>25</v>
      </c>
      <c r="H18" s="8">
        <v>18.0</v>
      </c>
      <c r="I18" s="7"/>
      <c r="J18" s="8" t="s">
        <v>155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>
        <v>18.0</v>
      </c>
      <c r="B19" s="8" t="s">
        <v>323</v>
      </c>
      <c r="C19" s="8" t="s">
        <v>324</v>
      </c>
      <c r="D19" s="8" t="s">
        <v>96</v>
      </c>
      <c r="E19" s="8" t="s">
        <v>36</v>
      </c>
      <c r="F19" s="8" t="s">
        <v>48</v>
      </c>
      <c r="G19" s="8" t="s">
        <v>25</v>
      </c>
      <c r="H19" s="8">
        <v>18.0</v>
      </c>
      <c r="I19" s="7"/>
      <c r="J19" s="8" t="s">
        <v>155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">
        <v>19.0</v>
      </c>
      <c r="B20" s="8" t="s">
        <v>325</v>
      </c>
      <c r="C20" s="8" t="s">
        <v>326</v>
      </c>
      <c r="D20" s="8" t="s">
        <v>327</v>
      </c>
      <c r="E20" s="8" t="s">
        <v>328</v>
      </c>
      <c r="F20" s="8" t="s">
        <v>48</v>
      </c>
      <c r="G20" s="8" t="s">
        <v>25</v>
      </c>
      <c r="H20" s="8">
        <v>15.0</v>
      </c>
      <c r="I20" s="7"/>
      <c r="J20" s="11">
        <v>46235.0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8">
        <v>20.0</v>
      </c>
      <c r="B21" s="8" t="s">
        <v>329</v>
      </c>
      <c r="C21" s="8" t="s">
        <v>330</v>
      </c>
      <c r="D21" s="8" t="s">
        <v>331</v>
      </c>
      <c r="E21" s="8" t="s">
        <v>332</v>
      </c>
      <c r="F21" s="8" t="s">
        <v>56</v>
      </c>
      <c r="G21" s="8" t="s">
        <v>25</v>
      </c>
      <c r="H21" s="8">
        <v>8.0</v>
      </c>
      <c r="I21" s="8">
        <v>22.0</v>
      </c>
      <c r="J21" s="8" t="s">
        <v>333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4.88"/>
    <col customWidth="1" min="4" max="4" width="15.38"/>
    <col customWidth="1" min="5" max="5" width="16.88"/>
    <col customWidth="1" min="6" max="6" width="15.63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113</v>
      </c>
      <c r="H1" s="1" t="s">
        <v>7</v>
      </c>
      <c r="I1" s="1" t="s">
        <v>334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8">
        <v>1.0</v>
      </c>
      <c r="B2" s="8" t="s">
        <v>335</v>
      </c>
      <c r="C2" s="8" t="s">
        <v>336</v>
      </c>
      <c r="D2" s="8" t="s">
        <v>23</v>
      </c>
      <c r="E2" s="8" t="s">
        <v>337</v>
      </c>
      <c r="F2" s="8" t="s">
        <v>338</v>
      </c>
      <c r="G2" s="8" t="s">
        <v>28</v>
      </c>
      <c r="H2" s="8">
        <v>20.0</v>
      </c>
      <c r="I2" s="8">
        <v>50.0</v>
      </c>
      <c r="J2" s="8" t="s">
        <v>339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>
        <f t="shared" ref="A3:A4" si="1">A2+1</f>
        <v>2</v>
      </c>
      <c r="B3" s="8" t="s">
        <v>340</v>
      </c>
      <c r="C3" s="8" t="s">
        <v>341</v>
      </c>
      <c r="D3" s="8" t="s">
        <v>23</v>
      </c>
      <c r="E3" s="8" t="s">
        <v>337</v>
      </c>
      <c r="F3" s="8" t="s">
        <v>338</v>
      </c>
      <c r="G3" s="8" t="s">
        <v>25</v>
      </c>
      <c r="H3" s="8">
        <v>20.0</v>
      </c>
      <c r="I3" s="8">
        <v>75.0</v>
      </c>
      <c r="J3" s="8" t="s">
        <v>342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8">
        <f t="shared" si="1"/>
        <v>3</v>
      </c>
      <c r="B4" s="6" t="s">
        <v>343</v>
      </c>
      <c r="C4" s="6" t="s">
        <v>344</v>
      </c>
      <c r="D4" s="6" t="s">
        <v>18</v>
      </c>
      <c r="E4" s="6" t="s">
        <v>19</v>
      </c>
      <c r="F4" s="6" t="s">
        <v>14</v>
      </c>
      <c r="G4" s="6" t="s">
        <v>15</v>
      </c>
      <c r="H4" s="6" t="s">
        <v>15</v>
      </c>
      <c r="I4" s="6">
        <v>50.0</v>
      </c>
      <c r="J4" s="6" t="s">
        <v>345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>
        <v>4.0</v>
      </c>
      <c r="B5" s="8" t="s">
        <v>346</v>
      </c>
      <c r="C5" s="6" t="s">
        <v>347</v>
      </c>
      <c r="D5" s="8" t="s">
        <v>164</v>
      </c>
      <c r="E5" s="6" t="s">
        <v>19</v>
      </c>
      <c r="F5" s="8" t="s">
        <v>37</v>
      </c>
      <c r="G5" s="8" t="s">
        <v>15</v>
      </c>
      <c r="H5" s="8">
        <v>12.0</v>
      </c>
      <c r="I5" s="8">
        <v>50.0</v>
      </c>
      <c r="J5" s="16">
        <v>45996.0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8">
        <v>5.0</v>
      </c>
      <c r="B6" s="8" t="s">
        <v>348</v>
      </c>
      <c r="C6" s="8" t="s">
        <v>349</v>
      </c>
      <c r="D6" s="8" t="s">
        <v>327</v>
      </c>
      <c r="E6" s="8" t="s">
        <v>350</v>
      </c>
      <c r="F6" s="8" t="s">
        <v>48</v>
      </c>
      <c r="G6" s="8" t="s">
        <v>15</v>
      </c>
      <c r="H6" s="8">
        <v>15.0</v>
      </c>
      <c r="I6" s="8" t="s">
        <v>15</v>
      </c>
      <c r="J6" s="8" t="s">
        <v>351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>
        <v>6.0</v>
      </c>
      <c r="B7" s="8" t="s">
        <v>352</v>
      </c>
      <c r="C7" s="8" t="s">
        <v>353</v>
      </c>
      <c r="D7" s="8" t="s">
        <v>96</v>
      </c>
      <c r="E7" s="8" t="s">
        <v>36</v>
      </c>
      <c r="F7" s="8" t="s">
        <v>48</v>
      </c>
      <c r="G7" s="8" t="s">
        <v>25</v>
      </c>
      <c r="H7" s="8">
        <v>18.0</v>
      </c>
      <c r="I7" s="8" t="s">
        <v>15</v>
      </c>
      <c r="J7" s="8" t="s">
        <v>155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8">
        <v>7.0</v>
      </c>
      <c r="B8" s="8" t="s">
        <v>354</v>
      </c>
      <c r="C8" s="8" t="s">
        <v>355</v>
      </c>
      <c r="D8" s="8" t="s">
        <v>265</v>
      </c>
      <c r="E8" s="8" t="s">
        <v>266</v>
      </c>
      <c r="F8" s="8" t="s">
        <v>48</v>
      </c>
      <c r="G8" s="8" t="s">
        <v>25</v>
      </c>
      <c r="H8" s="8">
        <v>7.8</v>
      </c>
      <c r="I8" s="8" t="s">
        <v>15</v>
      </c>
      <c r="J8" s="11">
        <v>46204.0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>
        <v>8.0</v>
      </c>
      <c r="B9" s="8" t="s">
        <v>356</v>
      </c>
      <c r="C9" s="8" t="s">
        <v>357</v>
      </c>
      <c r="D9" s="8" t="s">
        <v>108</v>
      </c>
      <c r="E9" s="8" t="s">
        <v>109</v>
      </c>
      <c r="F9" s="8" t="s">
        <v>48</v>
      </c>
      <c r="G9" s="8" t="s">
        <v>25</v>
      </c>
      <c r="H9" s="8">
        <v>8.4</v>
      </c>
      <c r="I9" s="8" t="s">
        <v>15</v>
      </c>
      <c r="J9" s="13">
        <v>46176.0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>
        <v>9.0</v>
      </c>
      <c r="B10" s="8" t="s">
        <v>358</v>
      </c>
      <c r="C10" s="8" t="s">
        <v>359</v>
      </c>
      <c r="D10" s="8" t="s">
        <v>108</v>
      </c>
      <c r="E10" s="8" t="s">
        <v>109</v>
      </c>
      <c r="F10" s="8" t="s">
        <v>48</v>
      </c>
      <c r="G10" s="8" t="s">
        <v>25</v>
      </c>
      <c r="H10" s="8">
        <v>8.4</v>
      </c>
      <c r="I10" s="8" t="s">
        <v>15</v>
      </c>
      <c r="J10" s="13">
        <v>46176.0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17" t="s">
        <v>360</v>
      </c>
      <c r="C12" s="18" t="s">
        <v>361</v>
      </c>
      <c r="D12" s="18" t="s">
        <v>362</v>
      </c>
      <c r="E12" s="18" t="s">
        <v>363</v>
      </c>
      <c r="F12" s="18" t="s">
        <v>364</v>
      </c>
      <c r="G12" s="18" t="s">
        <v>365</v>
      </c>
      <c r="H12" s="19" t="s">
        <v>112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20">
        <v>24.0</v>
      </c>
      <c r="C13" s="21">
        <v>16.0</v>
      </c>
      <c r="D13" s="21">
        <v>20.0</v>
      </c>
      <c r="E13" s="21">
        <v>13.0</v>
      </c>
      <c r="F13" s="21">
        <v>20.0</v>
      </c>
      <c r="G13" s="21">
        <v>9.0</v>
      </c>
      <c r="H13" s="22">
        <f>SUM(B13:G13)</f>
        <v>102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